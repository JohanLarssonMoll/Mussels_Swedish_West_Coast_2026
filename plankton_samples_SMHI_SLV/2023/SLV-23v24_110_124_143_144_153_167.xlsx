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1EC1143D-CD80-4406-8B91-69419F11721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calcChain.xml><?xml version="1.0" encoding="utf-8"?>
<calcChain xmlns="http://schemas.openxmlformats.org/spreadsheetml/2006/main">
  <c r="H14" i="2" l="1"/>
  <c r="F14" i="2"/>
</calcChain>
</file>

<file path=xl/sharedStrings.xml><?xml version="1.0" encoding="utf-8"?>
<sst xmlns="http://schemas.openxmlformats.org/spreadsheetml/2006/main" count="62" uniqueCount="52">
  <si>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</si>
  <si>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</si>
  <si>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</si>
  <si>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</si>
  <si>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</si>
  <si>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</si>
  <si>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</si>
  <si>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</si>
  <si>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</si>
  <si>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</si>
  <si>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</si>
  <si>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</si>
  <si>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</si>
  <si>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</si>
  <si>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</si>
  <si>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</si>
  <si>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</si>
  <si>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</si>
  <si>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</si>
  <si>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</si>
  <si>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</si>
  <si>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</si>
  <si>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</si>
  <si>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</si>
  <si>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</si>
  <si>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</si>
  <si>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</si>
  <si>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</si>
  <si>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</si>
  <si>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</si>
  <si>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</si>
  <si>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</si>
  <si>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</si>
  <si>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</si>
  <si>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</si>
  <si>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</si>
  <si>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</si>
  <si>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</si>
  <si>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</si>
  <si>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</si>
  <si>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</si>
  <si>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</si>
  <si>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</si>
  <si>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t>AT</t>
  </si>
  <si>
    <t xml:space="preserve">Analyserat och sammanställt av Anders Torstensson (AT). </t>
  </si>
  <si>
    <t xml:space="preserve">Vind: SO 4 m/S
Vattentemp: 16°C
Högtryck, lågvatten
Inget regn på ca 20 dagar
</t>
  </si>
  <si>
    <r>
      <t>Vind: 0 m/s
Vattentemp: 18</t>
    </r>
    <r>
      <rPr>
        <sz val="11"/>
        <rFont val="Calibri"/>
        <family val="2"/>
      </rPr>
      <t>°C
Klart väder</t>
    </r>
  </si>
  <si>
    <t>Vind: S 1-2 m/s
Vattentemp: 17.5°C
Klart väder</t>
  </si>
  <si>
    <t>&gt; 12</t>
  </si>
  <si>
    <r>
      <t>Vind: V 3 m/s
Vattentemp: 19</t>
    </r>
    <r>
      <rPr>
        <sz val="11"/>
        <rFont val="Calibri"/>
        <family val="2"/>
      </rPr>
      <t>°C
Sol
Torrt länge
Lågvatten
Prorocentrum lima 34 celler/L</t>
    </r>
  </si>
  <si>
    <t>Mycket sediment och bottenlevande dinoflagellater i slangprovet (ej i håvprovet). Svårt att se alla celler pga sediment.
Prorocentrum lima: 629 celler/L</t>
  </si>
  <si>
    <t>Diarienr: S/Gbg-2023-75
Datauttag: 2023-06-13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</si>
</sst>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topLeftCell="A4" zoomScale="80" zoomScaleNormal="80" workbookViewId="0">
      <selection activeCell="G19" sqref="G1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44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42" t="s">
        <v>51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43"/>
      <c r="B10" s="8" t="s">
        <v>0</v>
      </c>
      <c r="C10" s="30">
        <v>45088</v>
      </c>
      <c r="D10" s="30">
        <v>45089</v>
      </c>
      <c r="E10" s="30">
        <v>45088</v>
      </c>
      <c r="F10" s="30">
        <v>45089</v>
      </c>
      <c r="G10" s="30">
        <v>45089</v>
      </c>
      <c r="H10" s="30">
        <v>45089</v>
      </c>
    </row>
    <row r="11" spans="1:8" x14ac:dyDescent="0.25">
      <c r="A11" s="43"/>
      <c r="B11" s="8" t="s">
        <v>1</v>
      </c>
      <c r="C11" s="30">
        <v>45090</v>
      </c>
      <c r="D11" s="30">
        <v>45090</v>
      </c>
      <c r="E11" s="30">
        <v>45090</v>
      </c>
      <c r="F11" s="30">
        <v>45090</v>
      </c>
      <c r="G11" s="30">
        <v>45090</v>
      </c>
      <c r="H11" s="30">
        <v>45090</v>
      </c>
    </row>
    <row r="12" spans="1:8" x14ac:dyDescent="0.25">
      <c r="A12" s="43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  <c r="G12" s="12" t="s">
        <v>43</v>
      </c>
      <c r="H12" s="12" t="s">
        <v>43</v>
      </c>
    </row>
    <row r="13" spans="1:8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61" t="s">
        <v>33</v>
      </c>
      <c r="B14" s="62"/>
      <c r="C14" s="24"/>
      <c r="D14" s="24">
        <v>17</v>
      </c>
      <c r="E14" s="24">
        <v>17</v>
      </c>
      <c r="F14" s="25">
        <f>68+51</f>
        <v>119</v>
      </c>
      <c r="G14" s="24"/>
      <c r="H14" s="24">
        <f>510+391</f>
        <v>901</v>
      </c>
    </row>
    <row r="15" spans="1:8" s="3" customFormat="1" ht="14.45" customHeight="1" x14ac:dyDescent="0.25">
      <c r="A15" s="53" t="s">
        <v>19</v>
      </c>
      <c r="B15" s="54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58" t="s">
        <v>34</v>
      </c>
      <c r="B16" s="54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3" t="s">
        <v>10</v>
      </c>
      <c r="B17" s="54"/>
      <c r="C17" s="25"/>
      <c r="D17" s="25"/>
      <c r="E17" s="25"/>
      <c r="F17" s="25">
        <v>85</v>
      </c>
      <c r="G17" s="25"/>
      <c r="H17" s="25">
        <v>221</v>
      </c>
    </row>
    <row r="18" spans="1:13" ht="14.45" customHeight="1" x14ac:dyDescent="0.25">
      <c r="A18" s="53" t="s">
        <v>14</v>
      </c>
      <c r="B18" s="54"/>
      <c r="C18" s="25"/>
      <c r="D18" s="25"/>
      <c r="E18" s="25"/>
      <c r="F18" s="25"/>
      <c r="G18" s="25"/>
      <c r="H18" s="25"/>
    </row>
    <row r="19" spans="1:13" ht="14.45" customHeight="1" x14ac:dyDescent="0.25">
      <c r="A19" s="58" t="s">
        <v>32</v>
      </c>
      <c r="B19" s="54"/>
      <c r="C19" s="25"/>
      <c r="D19" s="25"/>
      <c r="E19" s="25"/>
      <c r="F19" s="25">
        <v>102</v>
      </c>
      <c r="G19" s="25"/>
      <c r="H19" s="25">
        <v>17</v>
      </c>
    </row>
    <row r="20" spans="1:13" ht="14.45" customHeight="1" x14ac:dyDescent="0.25">
      <c r="A20" s="63" t="s">
        <v>35</v>
      </c>
      <c r="B20" s="64"/>
      <c r="C20" s="26"/>
      <c r="D20" s="26"/>
      <c r="E20" s="26"/>
      <c r="F20" s="26"/>
      <c r="G20" s="26"/>
      <c r="H20" s="26"/>
    </row>
    <row r="21" spans="1:13" ht="14.45" customHeight="1" x14ac:dyDescent="0.25">
      <c r="A21" s="58" t="s">
        <v>36</v>
      </c>
      <c r="B21" s="54"/>
      <c r="C21" s="26"/>
      <c r="D21" s="26"/>
      <c r="E21" s="26"/>
      <c r="F21" s="26"/>
      <c r="G21" s="26"/>
      <c r="H21" s="26"/>
    </row>
    <row r="22" spans="1:13" ht="14.45" customHeight="1" x14ac:dyDescent="0.25">
      <c r="A22" s="58" t="s">
        <v>31</v>
      </c>
      <c r="B22" s="54"/>
      <c r="C22" s="25">
        <v>17</v>
      </c>
      <c r="D22" s="25">
        <v>34</v>
      </c>
      <c r="E22" s="25">
        <v>51</v>
      </c>
      <c r="F22" s="25">
        <v>2142</v>
      </c>
      <c r="G22" s="25"/>
      <c r="H22" s="25">
        <v>357</v>
      </c>
    </row>
    <row r="23" spans="1:13" ht="14.45" customHeight="1" x14ac:dyDescent="0.25">
      <c r="A23" s="45" t="s">
        <v>13</v>
      </c>
      <c r="B23" s="46"/>
      <c r="C23" s="25"/>
      <c r="D23" s="25"/>
      <c r="E23" s="25"/>
      <c r="F23" s="25"/>
      <c r="G23" s="25"/>
      <c r="H23" s="25"/>
    </row>
    <row r="24" spans="1:13" ht="14.45" customHeight="1" x14ac:dyDescent="0.25">
      <c r="A24" s="45" t="s">
        <v>5</v>
      </c>
      <c r="B24" s="46"/>
      <c r="C24" s="25"/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58" t="s">
        <v>22</v>
      </c>
      <c r="B26" s="54"/>
      <c r="C26" s="26"/>
      <c r="D26" s="26"/>
      <c r="E26" s="26">
        <v>34</v>
      </c>
      <c r="F26" s="26"/>
      <c r="G26" s="26"/>
      <c r="H26" s="26">
        <v>51</v>
      </c>
      <c r="K26" s="3"/>
      <c r="L26" s="3"/>
      <c r="M26" s="3"/>
    </row>
    <row r="27" spans="1:13" ht="14.45" customHeight="1" x14ac:dyDescent="0.25">
      <c r="A27" s="58" t="s">
        <v>30</v>
      </c>
      <c r="B27" s="54"/>
      <c r="C27" s="25"/>
      <c r="D27" s="25"/>
      <c r="E27" s="25"/>
      <c r="F27" s="25">
        <v>17</v>
      </c>
      <c r="G27" s="25"/>
      <c r="H27" s="25"/>
      <c r="K27" s="3"/>
      <c r="L27" s="15"/>
      <c r="M27" s="3"/>
    </row>
    <row r="28" spans="1:13" ht="14.45" customHeight="1" x14ac:dyDescent="0.25">
      <c r="A28" s="58" t="s">
        <v>29</v>
      </c>
      <c r="B28" s="54"/>
      <c r="C28" s="25"/>
      <c r="D28" s="25"/>
      <c r="E28" s="25"/>
      <c r="F28" s="25"/>
      <c r="G28" s="25"/>
      <c r="H28" s="25"/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49" t="s">
        <v>38</v>
      </c>
      <c r="B30" s="50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59" t="s">
        <v>16</v>
      </c>
      <c r="B31" s="60"/>
      <c r="C31" s="37"/>
      <c r="D31" s="37"/>
      <c r="E31" s="37"/>
      <c r="F31" s="41"/>
      <c r="G31" s="41"/>
      <c r="H31" s="37"/>
    </row>
    <row r="32" spans="1:13" x14ac:dyDescent="0.25">
      <c r="A32" s="55" t="s">
        <v>6</v>
      </c>
      <c r="B32" s="56"/>
      <c r="C32" s="19"/>
      <c r="D32" s="19"/>
      <c r="E32" s="19"/>
      <c r="F32" s="38"/>
      <c r="G32" s="38"/>
      <c r="H32" s="19"/>
      <c r="J32" s="4"/>
      <c r="M32" s="14"/>
    </row>
    <row r="33" spans="1:10" x14ac:dyDescent="0.25">
      <c r="A33" s="55" t="s">
        <v>7</v>
      </c>
      <c r="B33" s="56"/>
      <c r="C33" s="19"/>
      <c r="D33" s="19"/>
      <c r="E33" s="19"/>
      <c r="F33" s="39"/>
      <c r="G33" s="39"/>
      <c r="H33" s="19"/>
      <c r="J33" s="4"/>
    </row>
    <row r="34" spans="1:10" ht="15.75" thickBot="1" x14ac:dyDescent="0.3">
      <c r="A34" s="57" t="s">
        <v>8</v>
      </c>
      <c r="B34" s="50"/>
      <c r="C34" s="18"/>
      <c r="D34" s="18"/>
      <c r="E34" s="18"/>
      <c r="F34" s="40"/>
      <c r="G34" s="40"/>
      <c r="H34" s="18"/>
      <c r="J34" s="4"/>
    </row>
    <row r="35" spans="1:10" x14ac:dyDescent="0.25">
      <c r="A35" s="47" t="s">
        <v>17</v>
      </c>
      <c r="B35" s="48"/>
      <c r="C35" s="27"/>
      <c r="D35" s="27" t="s">
        <v>48</v>
      </c>
      <c r="E35" s="27"/>
      <c r="F35" s="28">
        <v>7</v>
      </c>
      <c r="G35" s="28"/>
      <c r="H35" s="28">
        <v>8.5</v>
      </c>
    </row>
    <row r="36" spans="1:10" ht="15.75" thickBot="1" x14ac:dyDescent="0.3">
      <c r="A36" s="49" t="s">
        <v>20</v>
      </c>
      <c r="B36" s="50"/>
      <c r="C36" s="21">
        <v>2</v>
      </c>
      <c r="D36" s="21">
        <v>1</v>
      </c>
      <c r="E36" s="21">
        <v>0</v>
      </c>
      <c r="F36" s="21">
        <v>2</v>
      </c>
      <c r="G36" s="21">
        <v>0</v>
      </c>
      <c r="H36" s="21">
        <v>0</v>
      </c>
    </row>
    <row r="37" spans="1:10" s="4" customFormat="1" ht="135.75" thickBot="1" x14ac:dyDescent="0.3">
      <c r="A37" s="51" t="s">
        <v>12</v>
      </c>
      <c r="B37" s="52"/>
      <c r="C37" s="29" t="s">
        <v>45</v>
      </c>
      <c r="D37" s="29" t="s">
        <v>49</v>
      </c>
      <c r="E37" s="29" t="s">
        <v>50</v>
      </c>
      <c r="F37" s="29" t="s">
        <v>46</v>
      </c>
      <c r="G37" s="29"/>
      <c r="H37" s="29" t="s">
        <v>47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2023-03-07T14:52:33Z</cp:lastPrinted>
  <dcterms:created xsi:type="dcterms:W3CDTF">2012-05-10T11:28:41Z</dcterms:created>
  <dcterms:modified xsi:type="dcterms:W3CDTF">2023-06-13T14:10:34Z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